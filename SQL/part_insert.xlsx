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Server5.3.0\domains\localhost\yii2.oyna\SQL\"/>
    </mc:Choice>
  </mc:AlternateContent>
  <bookViews>
    <workbookView xWindow="0" yWindow="0" windowWidth="23070" windowHeight="10185" tabRatio="433"/>
  </bookViews>
  <sheets>
    <sheet name="Parts" sheetId="1" r:id="rId1"/>
  </sheets>
  <calcPr calcId="162913"/>
</workbook>
</file>

<file path=xl/calcChain.xml><?xml version="1.0" encoding="utf-8"?>
<calcChain xmlns="http://schemas.openxmlformats.org/spreadsheetml/2006/main">
  <c r="U4" i="1" l="1"/>
  <c r="U3" i="1"/>
  <c r="U2" i="1"/>
  <c r="U1" i="1"/>
</calcChain>
</file>

<file path=xl/sharedStrings.xml><?xml version="1.0" encoding="utf-8"?>
<sst xmlns="http://schemas.openxmlformats.org/spreadsheetml/2006/main" count="47" uniqueCount="35">
  <si>
    <t>№</t>
  </si>
  <si>
    <t>№ детали (KD)</t>
  </si>
  <si>
    <t>№ детали (DY)</t>
  </si>
  <si>
    <t>Количество в упаковке</t>
  </si>
  <si>
    <t>Наименование</t>
  </si>
  <si>
    <t>Ед. изм.</t>
  </si>
  <si>
    <t>Тип детали</t>
  </si>
  <si>
    <t>Линия</t>
  </si>
  <si>
    <t>Модель</t>
  </si>
  <si>
    <t>Статус</t>
  </si>
  <si>
    <t>Форма</t>
  </si>
  <si>
    <t>Создал</t>
  </si>
  <si>
    <t>Создан</t>
  </si>
  <si>
    <t>Изменил</t>
  </si>
  <si>
    <t>Изменен</t>
  </si>
  <si>
    <t>Контрактный источник</t>
  </si>
  <si>
    <t>Примечание</t>
  </si>
  <si>
    <t>Floc</t>
  </si>
  <si>
    <t>Is bulk</t>
  </si>
  <si>
    <t>Side</t>
  </si>
  <si>
    <t>B-FE-01</t>
  </si>
  <si>
    <t>M</t>
  </si>
  <si>
    <t>FABRIC</t>
  </si>
  <si>
    <t>SEWING PART</t>
  </si>
  <si>
    <t>Актив</t>
  </si>
  <si>
    <t>Сырье</t>
  </si>
  <si>
    <t>sherali.mamatkarimov</t>
  </si>
  <si>
    <t>01.01.1970 06:00</t>
  </si>
  <si>
    <t>Badalboyev Zafarbek</t>
  </si>
  <si>
    <t>02.08.2019 09:20</t>
  </si>
  <si>
    <t>B-FE-02</t>
  </si>
  <si>
    <t>B-FE-03</t>
  </si>
  <si>
    <t>ПВХ Оксфорд Д 1680,  ширина 1500 мм (для наружного слоя)</t>
  </si>
  <si>
    <t>Звукоизолирующий поролон 4 мм,  ширин 2000 мм</t>
  </si>
  <si>
    <t>Огнеупорный поролон (фольга) 3 мм,  ширина 100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</si>
</sst>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topLeftCell="D1" zoomScale="85" zoomScaleNormal="85" workbookViewId="0">
      <selection activeCell="U1" sqref="U1:U4"/>
    </sheetView>
  </sheetViews>
  <sheetFormatPr defaultColWidth="12.140625" defaultRowHeight="15" x14ac:dyDescent="0.25"/>
  <cols>
    <col min="1" max="1" width="5" bestFit="1" customWidth="1"/>
    <col min="10" max="10" width="0" hidden="1" customWidth="1"/>
    <col min="12" max="15" width="0" hidden="1" customWidth="1"/>
    <col min="21" max="21" width="97.14062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tr">
        <f>"INSERT INTO part(
state, kdcode, part_no, part_name, 
unit_id, 
product_model_id, 
part_type_id, 
product_line_id, 
pack_size, side, 
fg_warehouse_id, 
is_bulk, warehouse_id, 
remark, status, created_by, created_at
) VALUES
"</f>
        <v xml:space="preserve">INSERT INTO part(
state, kdcode, part_no, part_name, 
unit_id, 
product_model_id, 
part_type_id, 
product_line_id, 
pack_size, side, 
fg_warehouse_id, 
is_bulk, warehouse_id, 
remark, status, created_by, created_at
) VALUES
</v>
      </c>
    </row>
    <row r="2" spans="1:21" x14ac:dyDescent="0.25">
      <c r="A2">
        <v>1</v>
      </c>
      <c r="B2" t="s">
        <v>20</v>
      </c>
      <c r="C2">
        <v>70060000</v>
      </c>
      <c r="E2" t="s">
        <v>32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S2">
        <v>0</v>
      </c>
      <c r="U2" s="1" t="str">
        <f>"( 2, '"&amp;B2&amp;"', '"&amp;C2&amp;"', '"&amp;E2&amp;"',  "&amp;"
(SELECT id FROM unit WHERE UPPER(unit_value) = UPPER('"&amp;F2&amp;"')), "&amp;"
(SELECT id FROM product_model WHERE UPPER(modelname) = UPPER('"&amp;I2&amp;"')), "&amp;"
(SELECT id FROM part_type WHERE UPPER(typename) = UPPER('"&amp;G2&amp;"')), "&amp;"
(SELECT id FROM product_line WHERE UPPER(linename) = UPPER('"&amp;H2&amp;"')), "&amp;"
'"&amp;D2&amp;"', '"&amp;T2&amp;"', "&amp;"
(SELECT id FROM warehouse WHERE UPPER(name) = UPPER('"&amp;R2&amp;"')), "&amp;"
"&amp;S2&amp;", (SELECT id FROM warehouse WHERE UPPER(name) = UPPER('"&amp;R2&amp;"')), "&amp;"
'Boshida tushuridi', 1, 1, 1
), "</f>
        <v xml:space="preserve">( 2, 'B-FE-01', '70060000', 'ПВХ Оксфорд Д 1680,  ширина 1500 мм (для наружного слоя)',  
(SELECT id FROM unit WHERE UPPER(unit_value) = UPPER('M')), 
(SELECT id FROM product_model WHERE UPPER(modelname) = UPPER('')), 
(SELECT id FROM part_type WHERE UPPER(typename) = UPPER('FABRIC')), 
(SELECT id FROM product_line WHERE UPPER(linename) = UPPER('SEWING PART')), 
'', '', 
(SELECT id FROM warehouse WHERE UPPER(name) = UPPER('')), 
0, (SELECT id FROM warehouse WHERE UPPER(name) = UPPER('')), 
'Boshida tushuridi', 1, 1, 1
), </v>
      </c>
    </row>
    <row r="3" spans="1:21" x14ac:dyDescent="0.25">
      <c r="A3">
        <v>2</v>
      </c>
      <c r="B3" t="s">
        <v>30</v>
      </c>
      <c r="C3">
        <v>70060001</v>
      </c>
      <c r="E3" t="s">
        <v>33</v>
      </c>
      <c r="F3" t="s">
        <v>21</v>
      </c>
      <c r="G3" t="s">
        <v>22</v>
      </c>
      <c r="J3" t="s">
        <v>24</v>
      </c>
      <c r="K3" t="s">
        <v>25</v>
      </c>
      <c r="L3" t="s">
        <v>26</v>
      </c>
      <c r="M3" t="s">
        <v>27</v>
      </c>
      <c r="S3">
        <v>1</v>
      </c>
      <c r="U3" s="1" t="str">
        <f t="shared" ref="U3:U4" si="0">"( 2, '"&amp;B3&amp;"', '"&amp;C3&amp;"', '"&amp;E3&amp;"',  "&amp;"
(SELECT id FROM unit WHERE UPPER(unit_value) = UPPER('"&amp;F3&amp;"')), "&amp;"
(SELECT id FROM product_model WHERE UPPER(modelname) = UPPER('"&amp;I3&amp;"')), "&amp;"
(SELECT id FROM part_type WHERE UPPER(typename) = UPPER('"&amp;G3&amp;"')), "&amp;"
(SELECT id FROM product_line WHERE UPPER(linename) = UPPER('"&amp;H3&amp;"')), "&amp;"
'"&amp;D3&amp;"', '"&amp;T3&amp;"', "&amp;"
(SELECT id FROM warehouse WHERE UPPER(name) = UPPER('"&amp;R3&amp;"')), "&amp;"
"&amp;S3&amp;", (SELECT id FROM warehouse WHERE UPPER(name) = UPPER('"&amp;R3&amp;"')), "&amp;"
'Boshida tushuridi', 1, 1, 1
), "</f>
        <v xml:space="preserve">( 2, 'B-FE-02', '70060001', 'Звукоизолирующий поролон 4 мм,  ширин 2000 мм',  
(SELECT id FROM unit WHERE UPPER(unit_value) = UPPER('M')), 
(SELECT id FROM product_model WHERE UPPER(modelname) = UPPER('')), 
(SELECT id FROM part_type WHERE UPPER(typename) = UPPER('FABRIC')), 
(SELECT id FROM product_line WHERE UPPER(linename) = UPPER('')), 
'', '', 
(SELECT id FROM warehouse WHERE UPPER(name) = UPPER('')), 
1, (SELECT id FROM warehouse WHERE UPPER(name) = UPPER('')), 
'Boshida tushuridi', 1, 1, 1
), </v>
      </c>
    </row>
    <row r="4" spans="1:21" x14ac:dyDescent="0.25">
      <c r="A4">
        <v>3</v>
      </c>
      <c r="B4" t="s">
        <v>31</v>
      </c>
      <c r="C4">
        <v>70060002</v>
      </c>
      <c r="E4" t="s">
        <v>34</v>
      </c>
      <c r="F4" t="s">
        <v>21</v>
      </c>
      <c r="G4" t="s">
        <v>22</v>
      </c>
      <c r="J4" t="s">
        <v>24</v>
      </c>
      <c r="K4" t="s">
        <v>25</v>
      </c>
      <c r="L4" t="s">
        <v>26</v>
      </c>
      <c r="M4" t="s">
        <v>27</v>
      </c>
      <c r="S4">
        <v>0</v>
      </c>
      <c r="U4" s="1" t="str">
        <f t="shared" si="0"/>
        <v xml:space="preserve">( 2, 'B-FE-03', '70060002', 'Огнеупорный поролон (фольга) 3 мм,  ширина 100 мм',  
(SELECT id FROM unit WHERE UPPER(unit_value) = UPPER('M')), 
(SELECT id FROM product_model WHERE UPPER(modelname) = UPPER('')), 
(SELECT id FROM part_type WHERE UPPER(typename) = UPPER('FABRIC')), 
(SELECT id FROM product_line WHERE UPPER(linename) = UPPER('')), 
'', '', 
(SELECT id FROM warehouse WHERE UPPER(name) = UPPER('')), 
0, (SELECT id FROM warehouse WHERE UPPER(name) = UPPER('')), 
'Boshida tushuridi', 1, 1, 1
), 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NU8474</cp:lastModifiedBy>
  <dcterms:created xsi:type="dcterms:W3CDTF">2019-08-07T06:51:56Z</dcterms:created>
  <dcterms:modified xsi:type="dcterms:W3CDTF">2019-08-07T09:33:09Z</dcterms:modified>
  <cp:category/>
</cp:coreProperties>
</file>